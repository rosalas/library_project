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 Overview" sheetId="1" state="visible" r:id="rId1"/>
    <sheet name="Author Analytics" sheetId="2" state="visible" r:id="rId2"/>
    <sheet name="Executiv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6" customWidth="1" min="2" max="2"/>
    <col width="21" customWidth="1" min="3" max="3"/>
    <col width="14" customWidth="1" min="4" max="4"/>
    <col width="176" customWidth="1" min="5" max="5"/>
    <col width="22" customWidth="1" min="6" max="6"/>
    <col width="21" customWidth="1" min="7" max="7"/>
  </cols>
  <sheetData>
    <row r="1">
      <c r="A1" s="1" t="inlineStr">
        <is>
          <t>work_id</t>
        </is>
      </c>
      <c r="B1" s="1" t="inlineStr">
        <is>
          <t>title</t>
        </is>
      </c>
      <c r="C1" s="1" t="inlineStr">
        <is>
          <t>first_publish_year</t>
        </is>
      </c>
      <c r="D1" s="1" t="inlineStr">
        <is>
          <t>author_key</t>
        </is>
      </c>
      <c r="E1" s="1" t="inlineStr">
        <is>
          <t>subject_tags</t>
        </is>
      </c>
      <c r="F1" s="1" t="inlineStr">
        <is>
          <t>created_at</t>
        </is>
      </c>
      <c r="G1" s="1" t="inlineStr">
        <is>
          <t>publication_decade</t>
        </is>
      </c>
    </row>
    <row r="2">
      <c r="A2" s="2" t="inlineStr">
        <is>
          <t>OL2784125W</t>
        </is>
      </c>
      <c r="B2" s="2" t="inlineStr">
        <is>
          <t>Learning Python</t>
        </is>
      </c>
      <c r="C2" s="2" t="n">
        <v>1999</v>
      </c>
      <c r="D2" s="2" t="inlineStr">
        <is>
          <t>OL411267A</t>
        </is>
      </c>
      <c r="E2" s="2" t="inlineStr">
        <is>
          <t>Python (Langage de programmation), Python (linguagem de programação), Python (Computer program language), Python (Lenguaje de programación de computadores), Langage à objets</t>
        </is>
      </c>
      <c r="F2" s="2" t="inlineStr">
        <is>
          <t>2026-10-13 14:41:04</t>
        </is>
      </c>
      <c r="G2" s="2" t="inlineStr">
        <is>
          <t>1990s</t>
        </is>
      </c>
    </row>
    <row r="3">
      <c r="A3" s="2" t="inlineStr">
        <is>
          <t>OL2784127W</t>
        </is>
      </c>
      <c r="B3" s="2" t="inlineStr">
        <is>
          <t>Python</t>
        </is>
      </c>
      <c r="C3" s="2" t="n">
        <v>1998</v>
      </c>
      <c r="D3" s="2" t="inlineStr">
        <is>
          <t>OL411267A</t>
        </is>
      </c>
      <c r="E3" s="2" t="inlineStr">
        <is>
          <t>Python (Computer program language), Python (Langage de programmation), COMPUTERS, Programming Languages, Python</t>
        </is>
      </c>
      <c r="F3" s="2" t="inlineStr">
        <is>
          <t>2026-10-13 14:41:04</t>
        </is>
      </c>
      <c r="G3" s="2" t="inlineStr">
        <is>
          <t>1990s</t>
        </is>
      </c>
    </row>
    <row r="4">
      <c r="A4" s="2" t="inlineStr">
        <is>
          <t>OL16976951W</t>
        </is>
      </c>
      <c r="B4" s="2" t="inlineStr">
        <is>
          <t>Think Python</t>
        </is>
      </c>
      <c r="C4" s="2" t="n">
        <v>2009</v>
      </c>
      <c r="D4" s="2" t="inlineStr">
        <is>
          <t>OL6815485A</t>
        </is>
      </c>
      <c r="E4" s="2" t="inlineStr">
        <is>
          <t>Computer programming, Software architecture, Python (Computer program language), COMPUTERS / Programming Languages / C#, COMPUTERS / Programming Languages / Pascal</t>
        </is>
      </c>
      <c r="F4" s="2" t="inlineStr">
        <is>
          <t>2026-10-13 14:41:04</t>
        </is>
      </c>
      <c r="G4" s="2" t="inlineStr">
        <is>
          <t>2000s</t>
        </is>
      </c>
    </row>
    <row r="5">
      <c r="A5" s="2" t="inlineStr">
        <is>
          <t>OL2784126W</t>
        </is>
      </c>
      <c r="B5" s="2" t="inlineStr">
        <is>
          <t>Programming Python</t>
        </is>
      </c>
      <c r="C5" s="2" t="n">
        <v>1996</v>
      </c>
      <c r="D5" s="2" t="inlineStr">
        <is>
          <t>OL411267A</t>
        </is>
      </c>
      <c r="E5" s="2" t="inlineStr">
        <is>
          <t>Python (Computer program language), Qa76.73.p98 l88 2001, Qa 76.73 p98 l875 2001, Python, Object oriented</t>
        </is>
      </c>
      <c r="F5" s="2" t="inlineStr">
        <is>
          <t>2026-10-13 14:41:04</t>
        </is>
      </c>
      <c r="G5" s="2" t="inlineStr">
        <is>
          <t>1990s</t>
        </is>
      </c>
    </row>
    <row r="6">
      <c r="A6" s="2" t="inlineStr">
        <is>
          <t>OL21349037W</t>
        </is>
      </c>
      <c r="B6" s="2" t="inlineStr">
        <is>
          <t>Introduction To Python For Science And Engineering</t>
        </is>
      </c>
      <c r="C6" s="2" t="n">
        <v>2018</v>
      </c>
      <c r="D6" s="2" t="inlineStr">
        <is>
          <t>OL4194836A</t>
        </is>
      </c>
      <c r="E6" s="2" t="inlineStr">
        <is>
          <t>Python (computer program language), Engineering, data processing, Science, data processing, Python (Computer program language), Computer programming</t>
        </is>
      </c>
      <c r="F6" s="2" t="inlineStr">
        <is>
          <t>2026-10-13 14:41:04</t>
        </is>
      </c>
      <c r="G6" s="2" t="inlineStr">
        <is>
          <t>2010s</t>
        </is>
      </c>
    </row>
    <row r="7">
      <c r="A7" s="2" t="inlineStr">
        <is>
          <t>OL17795703W</t>
        </is>
      </c>
      <c r="B7" s="2" t="inlineStr">
        <is>
          <t>Python For Bioinformatics</t>
        </is>
      </c>
      <c r="C7" s="2" t="n">
        <v>2009</v>
      </c>
      <c r="D7" s="2" t="inlineStr">
        <is>
          <t>OL3871440A</t>
        </is>
      </c>
      <c r="E7" s="2" t="inlineStr">
        <is>
          <t>Bioinformatics, Python (computer program language), Python (Computer program language), Computational Biology, Bio-informatique</t>
        </is>
      </c>
      <c r="F7" s="2" t="inlineStr">
        <is>
          <t>2026-10-13 14:41:04</t>
        </is>
      </c>
      <c r="G7" s="2" t="inlineStr">
        <is>
          <t>2000s</t>
        </is>
      </c>
    </row>
    <row r="8">
      <c r="A8" s="2" t="inlineStr">
        <is>
          <t>OL15664278W</t>
        </is>
      </c>
      <c r="B8" s="2" t="inlineStr">
        <is>
          <t>Head First Python</t>
        </is>
      </c>
      <c r="C8" s="2" t="n">
        <v>2010</v>
      </c>
      <c r="D8" s="2" t="inlineStr">
        <is>
          <t>OL6867889A</t>
        </is>
      </c>
      <c r="E8" s="2" t="inlineStr">
        <is>
          <t>Programming languages (electronic computers), Python (Computer program language), Python (Langage de programmation), COMPUTERS, Programming Languages</t>
        </is>
      </c>
      <c r="F8" s="2" t="inlineStr">
        <is>
          <t>2026-10-13 14:41:04</t>
        </is>
      </c>
      <c r="G8" s="2" t="inlineStr">
        <is>
          <t>2010s</t>
        </is>
      </c>
    </row>
    <row r="9">
      <c r="A9" s="2" t="inlineStr">
        <is>
          <t>OL15667639W</t>
        </is>
      </c>
      <c r="B9" s="2" t="inlineStr">
        <is>
          <t>Mining The Social Web</t>
        </is>
      </c>
      <c r="C9" s="2" t="n">
        <v>2011</v>
      </c>
      <c r="D9" s="2" t="inlineStr">
        <is>
          <t>OL6887918A</t>
        </is>
      </c>
      <c r="E9" s="2" t="inlineStr">
        <is>
          <t>Social networking, Online social networks, Artificial intelligence, Data mining, Electronic data processing, distributed processing</t>
        </is>
      </c>
      <c r="F9" s="2" t="inlineStr">
        <is>
          <t>2026-10-13 14:41:04</t>
        </is>
      </c>
      <c r="G9" s="2" t="inlineStr">
        <is>
          <t>2010s</t>
        </is>
      </c>
    </row>
    <row r="10">
      <c r="A10" s="2" t="inlineStr">
        <is>
          <t>OL17422847W</t>
        </is>
      </c>
      <c r="B10" s="2" t="inlineStr">
        <is>
          <t>Python For Data Analysis</t>
        </is>
      </c>
      <c r="C10" s="2" t="n">
        <v>2012</v>
      </c>
      <c r="D10" s="2" t="inlineStr">
        <is>
          <t>OL7309633A</t>
        </is>
      </c>
      <c r="E10" s="2" t="inlineStr">
        <is>
          <t>Programming languages (Electronic computers), Python (Computer program language), Data mining, Python (Langage de programmation), Exploration de données (Informatique)</t>
        </is>
      </c>
      <c r="F10" s="2" t="inlineStr">
        <is>
          <t>2026-10-13 14:41:04</t>
        </is>
      </c>
      <c r="G10" s="2" t="inlineStr">
        <is>
          <t>2010s</t>
        </is>
      </c>
    </row>
    <row r="11">
      <c r="A11" s="2" t="inlineStr">
        <is>
          <t>OL17192141W</t>
        </is>
      </c>
      <c r="B11" s="2" t="inlineStr">
        <is>
          <t>Automate The Boring Stuff With Python</t>
        </is>
      </c>
      <c r="C11" s="2" t="n">
        <v>2015</v>
      </c>
      <c r="D11" s="2" t="inlineStr">
        <is>
          <t>OL7244458A</t>
        </is>
      </c>
      <c r="E11" s="2" t="inlineStr">
        <is>
          <t>Python (Computer program language), Computer programming, Programming Languages, COMPUTERS, General</t>
        </is>
      </c>
      <c r="F11" s="2" t="inlineStr">
        <is>
          <t>2026-10-13 14:41:04</t>
        </is>
      </c>
      <c r="G11" s="2" t="inlineStr">
        <is>
          <t>2010s</t>
        </is>
      </c>
    </row>
    <row r="12">
      <c r="A12" s="2" t="inlineStr">
        <is>
          <t>OL6045694W</t>
        </is>
      </c>
      <c r="B12" s="2" t="inlineStr">
        <is>
          <t>Python In A Nutshell</t>
        </is>
      </c>
      <c r="C12" s="2" t="n">
        <v>2002</v>
      </c>
      <c r="D12" s="2" t="inlineStr">
        <is>
          <t>OL1521655A</t>
        </is>
      </c>
      <c r="E12" s="2" t="inlineStr">
        <is>
          <t>Python (Computer program language), Python (programmeertaal), Scripting languages (Computer science), Python (Langage de programmation), COMPUTERS</t>
        </is>
      </c>
      <c r="F12" s="2" t="inlineStr">
        <is>
          <t>2026-10-13 14:41:04</t>
        </is>
      </c>
      <c r="G12" s="2" t="inlineStr">
        <is>
          <t>2000s</t>
        </is>
      </c>
    </row>
    <row r="13">
      <c r="A13" s="2" t="inlineStr">
        <is>
          <t>OL16223034W</t>
        </is>
      </c>
      <c r="B13" s="2" t="inlineStr">
        <is>
          <t>Think Stats</t>
        </is>
      </c>
      <c r="C13" s="2" t="n">
        <v>2011</v>
      </c>
      <c r="D13" s="2" t="inlineStr">
        <is>
          <t>OL6815485A</t>
        </is>
      </c>
      <c r="E13" s="2" t="inlineStr">
        <is>
          <t>Statistics, Study and teaching, Computer programs, MATHEMATICS / Probability &amp; Statistics / General, Statistics / Computer programs</t>
        </is>
      </c>
      <c r="F13" s="2" t="inlineStr">
        <is>
          <t>2026-10-13 14:41:04</t>
        </is>
      </c>
      <c r="G13" s="2" t="inlineStr">
        <is>
          <t>2010s</t>
        </is>
      </c>
    </row>
    <row r="14">
      <c r="A14" s="2" t="inlineStr">
        <is>
          <t>OL23330617W</t>
        </is>
      </c>
      <c r="B14" s="2" t="inlineStr">
        <is>
          <t>Making Music With Computers</t>
        </is>
      </c>
      <c r="C14" s="2" t="n">
        <v>2013</v>
      </c>
      <c r="D14" s="2" t="inlineStr">
        <is>
          <t>OL3853673A</t>
        </is>
      </c>
      <c r="E14" s="2" t="inlineStr">
        <is>
          <t>Computer composition, Python (Computer program language), COMPUTERS / Programming Languages / General, COMPUTERS / Programming / Algorithms, MATHEMATICS / General</t>
        </is>
      </c>
      <c r="F14" s="2" t="inlineStr">
        <is>
          <t>2026-10-13 14:41:04</t>
        </is>
      </c>
      <c r="G14" s="2" t="inlineStr">
        <is>
          <t>2010s</t>
        </is>
      </c>
    </row>
    <row r="15">
      <c r="A15" s="2" t="inlineStr">
        <is>
          <t>OL19543188W</t>
        </is>
      </c>
      <c r="B15" s="2" t="inlineStr">
        <is>
          <t>Python For Everyone</t>
        </is>
      </c>
      <c r="C15" s="2" t="n">
        <v>2013</v>
      </c>
      <c r="D15" s="2" t="inlineStr">
        <is>
          <t>OL25278A</t>
        </is>
      </c>
      <c r="E15" s="2" t="inlineStr">
        <is>
          <t>Python (Computer program language), Python (computer program language), Python</t>
        </is>
      </c>
      <c r="F15" s="2" t="inlineStr">
        <is>
          <t>2026-10-13 14:41:04</t>
        </is>
      </c>
      <c r="G15" s="2" t="inlineStr">
        <is>
          <t>2010s</t>
        </is>
      </c>
    </row>
    <row r="16">
      <c r="A16" s="2" t="inlineStr">
        <is>
          <t>OL14873289W</t>
        </is>
      </c>
      <c r="B16" s="2" t="inlineStr">
        <is>
          <t>Python Cookbook</t>
        </is>
      </c>
      <c r="C16" s="2" t="n">
        <v>2002</v>
      </c>
      <c r="D16" s="2" t="inlineStr">
        <is>
          <t>OL1521655A</t>
        </is>
      </c>
      <c r="E16" s="2" t="inlineStr">
        <is>
          <t>Python (Computer program language), Python, Javascript, General, Games</t>
        </is>
      </c>
      <c r="F16" s="2" t="inlineStr">
        <is>
          <t>2026-10-13 14:41:04</t>
        </is>
      </c>
      <c r="G16" s="2" t="inlineStr">
        <is>
          <t>2000s</t>
        </is>
      </c>
    </row>
    <row r="17">
      <c r="A17" s="2" t="inlineStr">
        <is>
          <t>OL2102616W</t>
        </is>
      </c>
      <c r="B17" s="2" t="inlineStr">
        <is>
          <t>Economic Trends</t>
        </is>
      </c>
      <c r="C17" s="2" t="n">
        <v>2000</v>
      </c>
      <c r="D17" s="2" t="inlineStr">
        <is>
          <t>OL259932A</t>
        </is>
      </c>
      <c r="E17" s="2" t="inlineStr">
        <is>
          <t>Economy</t>
        </is>
      </c>
      <c r="F17" s="2" t="inlineStr">
        <is>
          <t>2026-10-13 15:44:23</t>
        </is>
      </c>
      <c r="G17" s="2" t="inlineStr">
        <is>
          <t>2000s</t>
        </is>
      </c>
    </row>
    <row r="18">
      <c r="A18" s="2" t="inlineStr">
        <is>
          <t>OL16814568W</t>
        </is>
      </c>
      <c r="B18" s="2" t="inlineStr">
        <is>
          <t>Le Capital Au Xxie Siecle</t>
        </is>
      </c>
      <c r="C18" s="2" t="n">
        <v>2013</v>
      </c>
      <c r="D18" s="2" t="inlineStr">
        <is>
          <t>OL466123A</t>
        </is>
      </c>
      <c r="E18" s="2" t="inlineStr">
        <is>
          <t>Capitalism, wealth, capital, inequality, social welfare</t>
        </is>
      </c>
      <c r="F18" s="2" t="inlineStr">
        <is>
          <t>2026-10-13 15:44:23</t>
        </is>
      </c>
      <c r="G18" s="2" t="inlineStr">
        <is>
          <t>2010s</t>
        </is>
      </c>
    </row>
    <row r="19">
      <c r="A19" s="2" t="inlineStr">
        <is>
          <t>OL1088554W</t>
        </is>
      </c>
      <c r="B19" s="2" t="inlineStr">
        <is>
          <t>In Praise Of Idleness And Other Essays</t>
        </is>
      </c>
      <c r="C19" s="2" t="n">
        <v>1935</v>
      </c>
      <c r="D19" s="2" t="inlineStr">
        <is>
          <t>OL112912A</t>
        </is>
      </c>
      <c r="E19" s="2" t="inlineStr">
        <is>
          <t>sociology, philosophy, economy, politics, architecture</t>
        </is>
      </c>
      <c r="F19" s="2" t="inlineStr">
        <is>
          <t>2026-10-13 15:44:23</t>
        </is>
      </c>
      <c r="G19" s="2" t="inlineStr">
        <is>
          <t>1930s</t>
        </is>
      </c>
    </row>
    <row r="20">
      <c r="A20" s="2" t="inlineStr">
        <is>
          <t>OL3956145W</t>
        </is>
      </c>
      <c r="B20" s="2" t="inlineStr">
        <is>
          <t>Die Verfassung Der Allmende</t>
        </is>
      </c>
      <c r="C20" s="2" t="n">
        <v>1990</v>
      </c>
      <c r="D20" s="2" t="inlineStr">
        <is>
          <t>OL722147A</t>
        </is>
      </c>
      <c r="E20" s="2" t="inlineStr">
        <is>
          <t>Case studies, Commons, Social choice, Long Now Manual for Civilization, Nachhaltigkeit</t>
        </is>
      </c>
      <c r="F20" s="2" t="inlineStr">
        <is>
          <t>2026-10-13 15:44:23</t>
        </is>
      </c>
      <c r="G20" s="2" t="inlineStr">
        <is>
          <t>1990s</t>
        </is>
      </c>
    </row>
    <row r="21">
      <c r="A21" s="2" t="inlineStr">
        <is>
          <t>OL5450225W</t>
        </is>
      </c>
      <c r="B21" s="2" t="inlineStr">
        <is>
          <t>Caliban And The Witch</t>
        </is>
      </c>
      <c r="C21" s="2" t="n">
        <v>2004</v>
      </c>
      <c r="D21" s="2" t="inlineStr">
        <is>
          <t>OL1283561A</t>
        </is>
      </c>
      <c r="E21" s="2" t="inlineStr">
        <is>
          <t>History, Economic conditions, Witch hunting, Social conditions, Women</t>
        </is>
      </c>
      <c r="F21" s="2" t="inlineStr">
        <is>
          <t>2026-10-13 15:44:23</t>
        </is>
      </c>
      <c r="G21" s="2" t="inlineStr">
        <is>
          <t>2000s</t>
        </is>
      </c>
    </row>
    <row r="22">
      <c r="A22" s="2" t="inlineStr">
        <is>
          <t>OL17192959W</t>
        </is>
      </c>
      <c r="B22" s="2" t="inlineStr">
        <is>
          <t>Revolution At Point Zero</t>
        </is>
      </c>
      <c r="C22" s="2" t="n">
        <v>2012</v>
      </c>
      <c r="D22" s="2" t="inlineStr">
        <is>
          <t>OL1283561A</t>
        </is>
      </c>
      <c r="E22" s="2" t="inlineStr">
        <is>
          <t>Housework, Reproduction, Feminist Struggle, Social aspects, Capitalism</t>
        </is>
      </c>
      <c r="F22" s="2" t="inlineStr">
        <is>
          <t>2026-10-13 15:44:23</t>
        </is>
      </c>
      <c r="G22" s="2" t="inlineStr">
        <is>
          <t>2010s</t>
        </is>
      </c>
    </row>
    <row r="23">
      <c r="A23" s="2" t="inlineStr">
        <is>
          <t>OL495649W</t>
        </is>
      </c>
      <c r="B23" s="2" t="inlineStr">
        <is>
          <t>The Age Of Extremes</t>
        </is>
      </c>
      <c r="C23" s="2" t="n">
        <v>1994</v>
      </c>
      <c r="D23" s="2" t="inlineStr">
        <is>
          <t>OL32997A</t>
        </is>
      </c>
      <c r="E23" s="2" t="inlineStr">
        <is>
          <t>Modern History, World history, communism, history, economy</t>
        </is>
      </c>
      <c r="F23" s="2" t="inlineStr">
        <is>
          <t>2026-10-13 15:44:23</t>
        </is>
      </c>
      <c r="G23" s="2" t="inlineStr">
        <is>
          <t>1990s</t>
        </is>
      </c>
    </row>
    <row r="24">
      <c r="A24" s="2" t="inlineStr">
        <is>
          <t>OL3172951W</t>
        </is>
      </c>
      <c r="B24" s="2" t="inlineStr">
        <is>
          <t>State Of The World</t>
        </is>
      </c>
      <c r="C24" s="2" t="n">
        <v>1985</v>
      </c>
      <c r="D24" s="2" t="inlineStr">
        <is>
          <t>OL158239A</t>
        </is>
      </c>
      <c r="E24" s="2" t="inlineStr">
        <is>
          <t>Economic policy, Economic conditions, Economic history, ECONOMICS, ECONOMY</t>
        </is>
      </c>
      <c r="F24" s="2" t="inlineStr">
        <is>
          <t>2026-10-13 15:44:23</t>
        </is>
      </c>
      <c r="G24" s="2" t="inlineStr">
        <is>
          <t>1980s</t>
        </is>
      </c>
    </row>
    <row r="25">
      <c r="A25" s="2" t="inlineStr">
        <is>
          <t>OL162023W</t>
        </is>
      </c>
      <c r="B25" s="2" t="inlineStr">
        <is>
          <t>Duncombes Free Banking</t>
        </is>
      </c>
      <c r="C25" s="2" t="n">
        <v>1841</v>
      </c>
      <c r="D25" s="2" t="inlineStr">
        <is>
          <t>OL2123356A</t>
        </is>
      </c>
      <c r="E25" s="2" t="inlineStr">
        <is>
          <t>Banks and banking, Currency question, Economy</t>
        </is>
      </c>
      <c r="F25" s="2" t="inlineStr">
        <is>
          <t>2026-10-13 15:44:23</t>
        </is>
      </c>
      <c r="G25" s="2" t="inlineStr">
        <is>
          <t>1840s</t>
        </is>
      </c>
    </row>
    <row r="26">
      <c r="A26" s="2" t="inlineStr">
        <is>
          <t>OL4963205W</t>
        </is>
      </c>
      <c r="B26" s="2" t="inlineStr">
        <is>
          <t>The Magic Of Getting What You Want</t>
        </is>
      </c>
      <c r="C26" s="2" t="n">
        <v>1983</v>
      </c>
      <c r="D26" s="2" t="inlineStr">
        <is>
          <t>OL1071215A</t>
        </is>
      </c>
      <c r="E26" s="2" t="inlineStr">
        <is>
          <t>Conduct of life, Success in business, Personality, Self-development, the american dream</t>
        </is>
      </c>
      <c r="F26" s="2" t="inlineStr">
        <is>
          <t>2026-10-13 15:44:23</t>
        </is>
      </c>
      <c r="G26" s="2" t="inlineStr">
        <is>
          <t>1980s</t>
        </is>
      </c>
    </row>
    <row r="27">
      <c r="A27" s="2" t="inlineStr">
        <is>
          <t>OL5158441W</t>
        </is>
      </c>
      <c r="B27" s="2" t="inlineStr">
        <is>
          <t>Okonomie Und Klassenstruktur Des Deutschen Faschismus</t>
        </is>
      </c>
      <c r="C27" s="2" t="n">
        <v>1973</v>
      </c>
      <c r="D27" s="2" t="inlineStr">
        <is>
          <t>OL1143170A</t>
        </is>
      </c>
      <c r="E27" s="2" t="inlineStr">
        <is>
          <t>Social conditions, Fascism, Economic conditions, Economic aspects, Economic aspects of National socialism</t>
        </is>
      </c>
      <c r="F27" s="2" t="inlineStr">
        <is>
          <t>2026-10-13 15:44:23</t>
        </is>
      </c>
      <c r="G27" s="2" t="inlineStr">
        <is>
          <t>1970s</t>
        </is>
      </c>
    </row>
    <row r="28">
      <c r="A28" s="2" t="inlineStr">
        <is>
          <t>OL21060808W</t>
        </is>
      </c>
      <c r="B28" s="2" t="inlineStr">
        <is>
          <t>Women, Work, And Globalization</t>
        </is>
      </c>
      <c r="C28" s="2" t="n">
        <v>2013</v>
      </c>
      <c r="D28" s="2" t="inlineStr">
        <is>
          <t>OL7955380A</t>
        </is>
      </c>
      <c r="E28" s="2" t="inlineStr">
        <is>
          <t>Women, employment, Globalization, Women, economic conditions, Women, social conditions, Women</t>
        </is>
      </c>
      <c r="F28" s="2" t="inlineStr">
        <is>
          <t>2026-10-13 15:44:23</t>
        </is>
      </c>
      <c r="G28" s="2" t="inlineStr">
        <is>
          <t>2010s</t>
        </is>
      </c>
    </row>
    <row r="29">
      <c r="A29" s="2" t="inlineStr">
        <is>
          <t>OL8005105W</t>
        </is>
      </c>
      <c r="B29" s="2" t="inlineStr">
        <is>
          <t>The Undercover Economist</t>
        </is>
      </c>
      <c r="C29" s="2" t="n">
        <v>2005</v>
      </c>
      <c r="D29" s="2" t="inlineStr">
        <is>
          <t>OL5372765A</t>
        </is>
      </c>
      <c r="E29" s="2" t="inlineStr">
        <is>
          <t>Economy, Undercover Economist, Tim Harford, Economics, Consumer education</t>
        </is>
      </c>
      <c r="F29" s="2" t="inlineStr">
        <is>
          <t>2026-10-13 15:44:23</t>
        </is>
      </c>
      <c r="G29" s="2" t="inlineStr">
        <is>
          <t>2000s</t>
        </is>
      </c>
    </row>
    <row r="30">
      <c r="A30" s="2" t="inlineStr">
        <is>
          <t>OL1484939W</t>
        </is>
      </c>
      <c r="B30" s="2" t="inlineStr">
        <is>
          <t>Eco-Economy</t>
        </is>
      </c>
      <c r="C30" s="2" t="n">
        <v>2001</v>
      </c>
      <c r="D30" s="2" t="inlineStr">
        <is>
          <t>OL158239A</t>
        </is>
      </c>
      <c r="E30" s="2" t="inlineStr">
        <is>
          <t>Environmental economics, Environmental responsibility, Environmental policy, economic aspects, Sustainable development, energy</t>
        </is>
      </c>
      <c r="F30" s="2" t="inlineStr">
        <is>
          <t>2026-10-13 15:44:23</t>
        </is>
      </c>
      <c r="G30" s="2" t="inlineStr">
        <is>
          <t>2000s</t>
        </is>
      </c>
    </row>
    <row r="31">
      <c r="A31" s="2" t="inlineStr">
        <is>
          <t>OL4123148W</t>
        </is>
      </c>
      <c r="B31" s="2" t="inlineStr">
        <is>
          <t>The Magna Carta Manifesto</t>
        </is>
      </c>
      <c r="C31" s="2" t="n">
        <v>2008</v>
      </c>
      <c r="D31" s="2" t="inlineStr">
        <is>
          <t>OL773995A</t>
        </is>
      </c>
      <c r="E31" s="2" t="inlineStr">
        <is>
          <t>Constitutional history, Civil rights, Magna Carta, Magna carta, Political rights</t>
        </is>
      </c>
      <c r="F31" s="2" t="inlineStr">
        <is>
          <t>2026-10-13 15:44:23</t>
        </is>
      </c>
      <c r="G31" s="2" t="inlineStr">
        <is>
          <t>2000s</t>
        </is>
      </c>
    </row>
    <row r="32">
      <c r="A32" s="2" t="inlineStr">
        <is>
          <t>OL100001W</t>
        </is>
      </c>
      <c r="B32" s="2" t="inlineStr">
        <is>
          <t>Python Automation Workflows</t>
        </is>
      </c>
      <c r="C32" s="2" t="n">
        <v>2021</v>
      </c>
      <c r="D32" s="2" t="inlineStr">
        <is>
          <t>OL100A</t>
        </is>
      </c>
      <c r="E32" s="2" t="inlineStr">
        <is>
          <t>Programming, Automation, Python</t>
        </is>
      </c>
      <c r="F32" s="2" t="inlineStr">
        <is>
          <t>2026-10-13 15:46:31</t>
        </is>
      </c>
      <c r="G32" s="2" t="inlineStr">
        <is>
          <t>2020s</t>
        </is>
      </c>
    </row>
    <row r="33">
      <c r="A33" s="2" t="inlineStr">
        <is>
          <t>OL100002W</t>
        </is>
      </c>
      <c r="B33" s="2" t="inlineStr">
        <is>
          <t>Clean Code: A Handbook Of Agile</t>
        </is>
      </c>
      <c r="C33" s="2" t="n">
        <v>2008</v>
      </c>
      <c r="D33" s="2" t="inlineStr">
        <is>
          <t>OL101A</t>
        </is>
      </c>
      <c r="E33" s="2" t="inlineStr">
        <is>
          <t>Software Engineering, Best Practices</t>
        </is>
      </c>
      <c r="F33" s="2" t="inlineStr">
        <is>
          <t>2026-10-13 15:46:31</t>
        </is>
      </c>
      <c r="G33" s="2" t="inlineStr">
        <is>
          <t>2000s</t>
        </is>
      </c>
    </row>
    <row r="34">
      <c r="A34" s="2" t="inlineStr">
        <is>
          <t>OL100003W</t>
        </is>
      </c>
      <c r="B34" s="2" t="inlineStr">
        <is>
          <t>The Pragmatic Programmer</t>
        </is>
      </c>
      <c r="C34" s="2" t="n">
        <v>1999</v>
      </c>
      <c r="D34" s="2" t="inlineStr">
        <is>
          <t>OL102A</t>
        </is>
      </c>
      <c r="E34" s="2" t="inlineStr">
        <is>
          <t>Software Architecture, Career</t>
        </is>
      </c>
      <c r="F34" s="2" t="inlineStr">
        <is>
          <t>2026-10-13 15:46:31</t>
        </is>
      </c>
      <c r="G34" s="2" t="inlineStr">
        <is>
          <t>1990s</t>
        </is>
      </c>
    </row>
    <row r="35">
      <c r="A35" s="2" t="inlineStr">
        <is>
          <t>OL100004W</t>
        </is>
      </c>
      <c r="B35" s="2" t="inlineStr">
        <is>
          <t>Advanced Python Design Patterns</t>
        </is>
      </c>
      <c r="C35" s="2" t="n">
        <v>2018</v>
      </c>
      <c r="D35" s="2" t="inlineStr">
        <is>
          <t>OL100A</t>
        </is>
      </c>
      <c r="E35" s="2" t="inlineStr"/>
      <c r="F35" s="2" t="inlineStr">
        <is>
          <t>2026-10-13 15:46:31</t>
        </is>
      </c>
      <c r="G35" s="2" t="inlineStr">
        <is>
          <t>2010s</t>
        </is>
      </c>
    </row>
    <row r="36">
      <c r="A36" s="2" t="inlineStr">
        <is>
          <t>OL100005W</t>
        </is>
      </c>
      <c r="B36" s="2" t="inlineStr">
        <is>
          <t>Legacy Systems And Debt</t>
        </is>
      </c>
      <c r="C36" s="2" t="n">
        <v>0</v>
      </c>
      <c r="D36" s="2" t="inlineStr">
        <is>
          <t>OL103A</t>
        </is>
      </c>
      <c r="E36" s="2" t="inlineStr">
        <is>
          <t>Computers, History</t>
        </is>
      </c>
      <c r="F36" s="2" t="inlineStr">
        <is>
          <t>2026-10-13 15:46:31</t>
        </is>
      </c>
      <c r="G36" s="2" t="inlineStr">
        <is>
          <t>Unknown</t>
        </is>
      </c>
    </row>
    <row r="37">
      <c r="A37" s="2" t="inlineStr">
        <is>
          <t>OL100006W</t>
        </is>
      </c>
      <c r="B37" s="2" t="inlineStr">
        <is>
          <t>Future Of Artificial Intelligence</t>
        </is>
      </c>
      <c r="C37" s="2" t="n">
        <v>2025</v>
      </c>
      <c r="D37" s="2" t="inlineStr">
        <is>
          <t>OL104A</t>
        </is>
      </c>
      <c r="E37" s="2" t="inlineStr">
        <is>
          <t>Artificial Intelligence, Robotics</t>
        </is>
      </c>
      <c r="F37" s="2" t="inlineStr">
        <is>
          <t>2026-10-13 15:46:31</t>
        </is>
      </c>
      <c r="G37" s="2" t="inlineStr">
        <is>
          <t>2020s</t>
        </is>
      </c>
    </row>
    <row r="38">
      <c r="A38" s="2" t="inlineStr">
        <is>
          <t>OL100007W</t>
        </is>
      </c>
      <c r="B38" s="2" t="inlineStr">
        <is>
          <t>Data Science From Scratch</t>
        </is>
      </c>
      <c r="C38" s="2" t="n">
        <v>2019</v>
      </c>
      <c r="D38" s="2" t="inlineStr">
        <is>
          <t>OL105A</t>
        </is>
      </c>
      <c r="E38" s="2" t="inlineStr">
        <is>
          <t>Data Science, Python, Machine Learning</t>
        </is>
      </c>
      <c r="F38" s="2" t="inlineStr">
        <is>
          <t>2026-10-13 15:46:31</t>
        </is>
      </c>
      <c r="G38" s="2" t="inlineStr">
        <is>
          <t>2010s</t>
        </is>
      </c>
    </row>
    <row r="39">
      <c r="A39" s="2" t="inlineStr">
        <is>
          <t>OL100008W</t>
        </is>
      </c>
      <c r="B39" s="2" t="inlineStr">
        <is>
          <t>Introduction To Algorithms</t>
        </is>
      </c>
      <c r="C39" s="2" t="n">
        <v>2009</v>
      </c>
      <c r="D39" s="2" t="inlineStr">
        <is>
          <t>OL106A</t>
        </is>
      </c>
      <c r="E39" s="2" t="inlineStr">
        <is>
          <t>Algorithms, Computer Science</t>
        </is>
      </c>
      <c r="F39" s="2" t="inlineStr">
        <is>
          <t>2026-10-13 15:46:31</t>
        </is>
      </c>
      <c r="G39" s="2" t="inlineStr">
        <is>
          <t>2000s</t>
        </is>
      </c>
    </row>
    <row r="40">
      <c r="A40" s="2" t="inlineStr">
        <is>
          <t>OL100009W</t>
        </is>
      </c>
      <c r="B40" s="2" t="inlineStr">
        <is>
          <t>Unicode Special Chars: Cafe Nino</t>
        </is>
      </c>
      <c r="C40" s="2" t="n">
        <v>2022</v>
      </c>
      <c r="D40" s="2" t="inlineStr">
        <is>
          <t>OL100A</t>
        </is>
      </c>
      <c r="E40" s="2" t="inlineStr">
        <is>
          <t>Encoding, Python</t>
        </is>
      </c>
      <c r="F40" s="2" t="inlineStr">
        <is>
          <t>2026-10-13 15:46:31</t>
        </is>
      </c>
      <c r="G40" s="2" t="inlineStr">
        <is>
          <t>2020s</t>
        </is>
      </c>
    </row>
    <row r="41">
      <c r="A41" s="2" t="inlineStr">
        <is>
          <t>OL100010W</t>
        </is>
      </c>
      <c r="B41" s="2" t="inlineStr">
        <is>
          <t>Uncategorized Work</t>
        </is>
      </c>
      <c r="C41" s="2" t="n">
        <v>0</v>
      </c>
      <c r="D41" s="2" t="inlineStr">
        <is>
          <t>OL107A</t>
        </is>
      </c>
      <c r="E41" s="2" t="inlineStr"/>
      <c r="F41" s="2" t="inlineStr">
        <is>
          <t>2026-10-13 15:46:31</t>
        </is>
      </c>
      <c r="G41" s="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>
      <c r="A1" s="1" t="inlineStr">
        <is>
          <t>author_key</t>
        </is>
      </c>
      <c r="B1" s="1" t="inlineStr">
        <is>
          <t>total_works</t>
        </is>
      </c>
      <c r="C1" s="1" t="inlineStr">
        <is>
          <t>earliest_year</t>
        </is>
      </c>
      <c r="D1" s="1" t="inlineStr">
        <is>
          <t>latest_year</t>
        </is>
      </c>
    </row>
    <row r="2">
      <c r="A2" s="2" t="inlineStr">
        <is>
          <t>OL100A</t>
        </is>
      </c>
      <c r="B2" s="2" t="n">
        <v>3</v>
      </c>
      <c r="C2" s="2" t="n">
        <v>2018</v>
      </c>
      <c r="D2" s="2" t="n">
        <v>2022</v>
      </c>
    </row>
    <row r="3">
      <c r="A3" s="2" t="inlineStr">
        <is>
          <t>OL411267A</t>
        </is>
      </c>
      <c r="B3" s="2" t="n">
        <v>3</v>
      </c>
      <c r="C3" s="2" t="n">
        <v>1996</v>
      </c>
      <c r="D3" s="2" t="n">
        <v>1999</v>
      </c>
    </row>
    <row r="4">
      <c r="A4" s="2" t="inlineStr">
        <is>
          <t>OL1521655A</t>
        </is>
      </c>
      <c r="B4" s="2" t="n">
        <v>2</v>
      </c>
      <c r="C4" s="2" t="n">
        <v>2002</v>
      </c>
      <c r="D4" s="2" t="n">
        <v>2002</v>
      </c>
    </row>
    <row r="5">
      <c r="A5" s="2" t="inlineStr">
        <is>
          <t>OL158239A</t>
        </is>
      </c>
      <c r="B5" s="2" t="n">
        <v>2</v>
      </c>
      <c r="C5" s="2" t="n">
        <v>1985</v>
      </c>
      <c r="D5" s="2" t="n">
        <v>2001</v>
      </c>
    </row>
    <row r="6">
      <c r="A6" s="2" t="inlineStr">
        <is>
          <t>OL6815485A</t>
        </is>
      </c>
      <c r="B6" s="2" t="n">
        <v>2</v>
      </c>
      <c r="C6" s="2" t="n">
        <v>2009</v>
      </c>
      <c r="D6" s="2" t="n">
        <v>2011</v>
      </c>
    </row>
    <row r="7">
      <c r="A7" s="2" t="inlineStr">
        <is>
          <t>OL1283561A</t>
        </is>
      </c>
      <c r="B7" s="2" t="n">
        <v>2</v>
      </c>
      <c r="C7" s="2" t="n">
        <v>2004</v>
      </c>
      <c r="D7" s="2" t="n">
        <v>2012</v>
      </c>
    </row>
    <row r="8">
      <c r="A8" s="2" t="inlineStr">
        <is>
          <t>OL104A</t>
        </is>
      </c>
      <c r="B8" s="2" t="n">
        <v>1</v>
      </c>
      <c r="C8" s="2" t="n">
        <v>2025</v>
      </c>
      <c r="D8" s="2" t="n">
        <v>2025</v>
      </c>
    </row>
    <row r="9">
      <c r="A9" s="2" t="inlineStr">
        <is>
          <t>OL101A</t>
        </is>
      </c>
      <c r="B9" s="2" t="n">
        <v>1</v>
      </c>
      <c r="C9" s="2" t="n">
        <v>2008</v>
      </c>
      <c r="D9" s="2" t="n">
        <v>2008</v>
      </c>
    </row>
    <row r="10">
      <c r="A10" s="2" t="inlineStr">
        <is>
          <t>OL1071215A</t>
        </is>
      </c>
      <c r="B10" s="2" t="n">
        <v>1</v>
      </c>
      <c r="C10" s="2" t="n">
        <v>1983</v>
      </c>
      <c r="D10" s="2" t="n">
        <v>1983</v>
      </c>
    </row>
    <row r="11">
      <c r="A11" s="2" t="inlineStr">
        <is>
          <t>OL106A</t>
        </is>
      </c>
      <c r="B11" s="2" t="n">
        <v>1</v>
      </c>
      <c r="C11" s="2" t="n">
        <v>2009</v>
      </c>
      <c r="D11" s="2" t="n">
        <v>2009</v>
      </c>
    </row>
    <row r="12">
      <c r="A12" s="2" t="inlineStr">
        <is>
          <t>OL105A</t>
        </is>
      </c>
      <c r="B12" s="2" t="n">
        <v>1</v>
      </c>
      <c r="C12" s="2" t="n">
        <v>2019</v>
      </c>
      <c r="D12" s="2" t="n">
        <v>2019</v>
      </c>
    </row>
    <row r="13">
      <c r="A13" s="2" t="inlineStr">
        <is>
          <t>OL107A</t>
        </is>
      </c>
      <c r="B13" s="2" t="n">
        <v>1</v>
      </c>
      <c r="C13" s="2" t="n">
        <v/>
      </c>
      <c r="D13" s="2" t="n">
        <v/>
      </c>
    </row>
    <row r="14">
      <c r="A14" s="2" t="inlineStr">
        <is>
          <t>OL1143170A</t>
        </is>
      </c>
      <c r="B14" s="2" t="n">
        <v>1</v>
      </c>
      <c r="C14" s="2" t="n">
        <v>1973</v>
      </c>
      <c r="D14" s="2" t="n">
        <v>1973</v>
      </c>
    </row>
    <row r="15">
      <c r="A15" s="2" t="inlineStr">
        <is>
          <t>OL112912A</t>
        </is>
      </c>
      <c r="B15" s="2" t="n">
        <v>1</v>
      </c>
      <c r="C15" s="2" t="n">
        <v>1935</v>
      </c>
      <c r="D15" s="2" t="n">
        <v>1935</v>
      </c>
    </row>
    <row r="16">
      <c r="A16" s="2" t="inlineStr">
        <is>
          <t>OL102A</t>
        </is>
      </c>
      <c r="B16" s="2" t="n">
        <v>1</v>
      </c>
      <c r="C16" s="2" t="n">
        <v>1999</v>
      </c>
      <c r="D16" s="2" t="n">
        <v>1999</v>
      </c>
    </row>
    <row r="17">
      <c r="A17" s="2" t="inlineStr">
        <is>
          <t>OL103A</t>
        </is>
      </c>
      <c r="B17" s="2" t="n">
        <v>1</v>
      </c>
      <c r="C17" s="2" t="n">
        <v/>
      </c>
      <c r="D17" s="2" t="n">
        <v/>
      </c>
    </row>
    <row r="18">
      <c r="A18" s="2" t="inlineStr">
        <is>
          <t>OL25278A</t>
        </is>
      </c>
      <c r="B18" s="2" t="n">
        <v>1</v>
      </c>
      <c r="C18" s="2" t="n">
        <v>2013</v>
      </c>
      <c r="D18" s="2" t="n">
        <v>2013</v>
      </c>
    </row>
    <row r="19">
      <c r="A19" s="2" t="inlineStr">
        <is>
          <t>OL2123356A</t>
        </is>
      </c>
      <c r="B19" s="2" t="n">
        <v>1</v>
      </c>
      <c r="C19" s="2" t="n">
        <v>1841</v>
      </c>
      <c r="D19" s="2" t="n">
        <v>1841</v>
      </c>
    </row>
    <row r="20">
      <c r="A20" s="2" t="inlineStr">
        <is>
          <t>OL3853673A</t>
        </is>
      </c>
      <c r="B20" s="2" t="n">
        <v>1</v>
      </c>
      <c r="C20" s="2" t="n">
        <v>2013</v>
      </c>
      <c r="D20" s="2" t="n">
        <v>2013</v>
      </c>
    </row>
    <row r="21">
      <c r="A21" s="2" t="inlineStr">
        <is>
          <t>OL259932A</t>
        </is>
      </c>
      <c r="B21" s="2" t="n">
        <v>1</v>
      </c>
      <c r="C21" s="2" t="n">
        <v>2000</v>
      </c>
      <c r="D21" s="2" t="n">
        <v>2000</v>
      </c>
    </row>
    <row r="22">
      <c r="A22" s="2" t="inlineStr">
        <is>
          <t>OL3871440A</t>
        </is>
      </c>
      <c r="B22" s="2" t="n">
        <v>1</v>
      </c>
      <c r="C22" s="2" t="n">
        <v>2009</v>
      </c>
      <c r="D22" s="2" t="n">
        <v>2009</v>
      </c>
    </row>
    <row r="23">
      <c r="A23" s="2" t="inlineStr">
        <is>
          <t>OL4194836A</t>
        </is>
      </c>
      <c r="B23" s="2" t="n">
        <v>1</v>
      </c>
      <c r="C23" s="2" t="n">
        <v>2018</v>
      </c>
      <c r="D23" s="2" t="n">
        <v>2018</v>
      </c>
    </row>
    <row r="24">
      <c r="A24" s="2" t="inlineStr">
        <is>
          <t>OL466123A</t>
        </is>
      </c>
      <c r="B24" s="2" t="n">
        <v>1</v>
      </c>
      <c r="C24" s="2" t="n">
        <v>2013</v>
      </c>
      <c r="D24" s="2" t="n">
        <v>2013</v>
      </c>
    </row>
    <row r="25">
      <c r="A25" s="2" t="inlineStr">
        <is>
          <t>OL32997A</t>
        </is>
      </c>
      <c r="B25" s="2" t="n">
        <v>1</v>
      </c>
      <c r="C25" s="2" t="n">
        <v>1994</v>
      </c>
      <c r="D25" s="2" t="n">
        <v>1994</v>
      </c>
    </row>
    <row r="26">
      <c r="A26" s="2" t="inlineStr">
        <is>
          <t>OL5372765A</t>
        </is>
      </c>
      <c r="B26" s="2" t="n">
        <v>1</v>
      </c>
      <c r="C26" s="2" t="n">
        <v>2005</v>
      </c>
      <c r="D26" s="2" t="n">
        <v>2005</v>
      </c>
    </row>
    <row r="27">
      <c r="A27" s="2" t="inlineStr">
        <is>
          <t>OL6867889A</t>
        </is>
      </c>
      <c r="B27" s="2" t="n">
        <v>1</v>
      </c>
      <c r="C27" s="2" t="n">
        <v>2010</v>
      </c>
      <c r="D27" s="2" t="n">
        <v>2010</v>
      </c>
    </row>
    <row r="28">
      <c r="A28" s="2" t="inlineStr">
        <is>
          <t>OL6887918A</t>
        </is>
      </c>
      <c r="B28" s="2" t="n">
        <v>1</v>
      </c>
      <c r="C28" s="2" t="n">
        <v>2011</v>
      </c>
      <c r="D28" s="2" t="n">
        <v>2011</v>
      </c>
    </row>
    <row r="29">
      <c r="A29" s="2" t="inlineStr">
        <is>
          <t>OL722147A</t>
        </is>
      </c>
      <c r="B29" s="2" t="n">
        <v>1</v>
      </c>
      <c r="C29" s="2" t="n">
        <v>1990</v>
      </c>
      <c r="D29" s="2" t="n">
        <v>1990</v>
      </c>
    </row>
    <row r="30">
      <c r="A30" s="2" t="inlineStr">
        <is>
          <t>OL7244458A</t>
        </is>
      </c>
      <c r="B30" s="2" t="n">
        <v>1</v>
      </c>
      <c r="C30" s="2" t="n">
        <v>2015</v>
      </c>
      <c r="D30" s="2" t="n">
        <v>2015</v>
      </c>
    </row>
    <row r="31">
      <c r="A31" s="2" t="inlineStr">
        <is>
          <t>OL7309633A</t>
        </is>
      </c>
      <c r="B31" s="2" t="n">
        <v>1</v>
      </c>
      <c r="C31" s="2" t="n">
        <v>2012</v>
      </c>
      <c r="D31" s="2" t="n">
        <v>2012</v>
      </c>
    </row>
    <row r="32">
      <c r="A32" s="2" t="inlineStr">
        <is>
          <t>OL773995A</t>
        </is>
      </c>
      <c r="B32" s="2" t="n">
        <v>1</v>
      </c>
      <c r="C32" s="2" t="n">
        <v>2008</v>
      </c>
      <c r="D32" s="2" t="n">
        <v>2008</v>
      </c>
    </row>
    <row r="33">
      <c r="A33" s="2" t="inlineStr">
        <is>
          <t>OL7955380A</t>
        </is>
      </c>
      <c r="B33" s="2" t="n">
        <v>1</v>
      </c>
      <c r="C33" s="2" t="n">
        <v>2013</v>
      </c>
      <c r="D33" s="2" t="n">
        <v>2013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3" t="inlineStr">
        <is>
          <t>OLICAS Catalog Key Performance Indicators</t>
        </is>
      </c>
    </row>
    <row r="3">
      <c r="A3" s="4" t="inlineStr">
        <is>
          <t>Metric Indicator</t>
        </is>
      </c>
      <c r="B3" s="4" t="inlineStr">
        <is>
          <t>Calculated Value (Formula)</t>
        </is>
      </c>
    </row>
    <row r="4">
      <c r="A4" s="2" t="inlineStr">
        <is>
          <t>Total Books Processed in Catalog</t>
        </is>
      </c>
      <c r="B4" s="5">
        <f>COUNTA('Catalog Overview'!A2:A41)</f>
        <v/>
      </c>
    </row>
    <row r="5">
      <c r="A5" s="2" t="inlineStr">
        <is>
          <t>Total Unique Authors Cataloged</t>
        </is>
      </c>
      <c r="B5" s="5">
        <f>COUNTA('Author Analytics'!A2:A33)</f>
        <v/>
      </c>
    </row>
    <row r="6">
      <c r="A6" s="2" t="inlineStr">
        <is>
          <t>Average First Publication Year</t>
        </is>
      </c>
      <c r="B6" s="5">
        <f>AVERAGE('Catalog Overview'!C2:C41)</f>
        <v/>
      </c>
    </row>
    <row r="7">
      <c r="A7" s="2" t="inlineStr">
        <is>
          <t>Earliest Book Publication Year</t>
        </is>
      </c>
      <c r="B7" s="5">
        <f>MIN('Catalog Overview'!C2:C41)</f>
        <v/>
      </c>
    </row>
    <row r="8">
      <c r="A8" s="2" t="inlineStr">
        <is>
          <t>Latest Book Publication Year</t>
        </is>
      </c>
      <c r="B8" s="5">
        <f>MAX('Catalog Overview'!C2:C41)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2026-10-13T15:46:38Z</dcterms:created>
  <dcterms:modified xsi:type="dcterms:W3CDTF">2026-10-13T15:46:38Z</dcterms:modified>
</cp:coreProperties>
</file>